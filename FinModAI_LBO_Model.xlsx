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LBO Cash Flows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x"/>
    <numFmt numFmtId="167" formatCode="0.00x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2933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2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FinModAI LBO Model – Key Assumptions</t>
        </is>
      </c>
    </row>
    <row r="3">
      <c r="A3" s="2" t="inlineStr">
        <is>
          <t>Entry EBITDA</t>
        </is>
      </c>
      <c r="B3" s="3" t="n">
        <v>250000000</v>
      </c>
    </row>
    <row r="4">
      <c r="A4" s="2" t="inlineStr">
        <is>
          <t>EBITDA Margin %</t>
        </is>
      </c>
      <c r="B4" s="4" t="n">
        <v>0.25</v>
      </c>
    </row>
    <row r="5">
      <c r="A5" s="2" t="inlineStr">
        <is>
          <t>Entry Revenue</t>
        </is>
      </c>
      <c r="B5" s="3">
        <f>B3/B4</f>
        <v/>
      </c>
    </row>
    <row r="6">
      <c r="A6" s="2" t="inlineStr">
        <is>
          <t>Entry Multiple</t>
        </is>
      </c>
      <c r="B6" s="5" t="n">
        <v>10</v>
      </c>
    </row>
    <row r="7">
      <c r="A7" s="2" t="inlineStr">
        <is>
          <t>EBITDA Growth Rate</t>
        </is>
      </c>
      <c r="B7" s="4" t="n">
        <v>0.06</v>
      </c>
    </row>
    <row r="8">
      <c r="A8" s="2" t="inlineStr">
        <is>
          <t>Exit Multiple</t>
        </is>
      </c>
      <c r="B8" s="5" t="n">
        <v>11</v>
      </c>
    </row>
    <row r="9">
      <c r="A9" s="2" t="inlineStr">
        <is>
          <t>Leverage (Debt/EBITDA)</t>
        </is>
      </c>
      <c r="B9" s="5" t="n">
        <v>5</v>
      </c>
    </row>
    <row r="10">
      <c r="A10" s="2" t="inlineStr">
        <is>
          <t>Interest Rate</t>
        </is>
      </c>
      <c r="B10" s="4" t="n">
        <v>0.07000000000000001</v>
      </c>
    </row>
    <row r="11">
      <c r="A11" s="2" t="inlineStr">
        <is>
          <t>Tax Rate</t>
        </is>
      </c>
      <c r="B11" s="4" t="n">
        <v>0.25</v>
      </c>
    </row>
    <row r="12">
      <c r="A12" s="2" t="inlineStr">
        <is>
          <t>Capex % of Revenue</t>
        </is>
      </c>
      <c r="B12" s="4" t="n">
        <v>0.04</v>
      </c>
    </row>
    <row r="13">
      <c r="A13" s="2" t="inlineStr">
        <is>
          <t>D&amp;A % of Revenue</t>
        </is>
      </c>
      <c r="B13" s="4" t="n">
        <v>0.03</v>
      </c>
    </row>
    <row r="14">
      <c r="A14" s="2" t="inlineStr">
        <is>
          <t>NWC Change % of Revenue</t>
        </is>
      </c>
      <c r="B14" s="4" t="n">
        <v>0.02</v>
      </c>
    </row>
    <row r="15">
      <c r="A15" s="2" t="inlineStr">
        <is>
          <t>Hold Period (years)</t>
        </is>
      </c>
      <c r="B15" s="6" t="n">
        <v>5</v>
      </c>
    </row>
    <row r="16">
      <c r="A16" s="2" t="inlineStr">
        <is>
          <t>Sponsor Rollover %</t>
        </is>
      </c>
      <c r="B16" s="4" t="n">
        <v>0.15</v>
      </c>
    </row>
    <row r="17">
      <c r="A17" s="2" t="inlineStr">
        <is>
          <t>Fees % of EV</t>
        </is>
      </c>
      <c r="B17" s="4" t="n">
        <v>0.02</v>
      </c>
    </row>
    <row r="18">
      <c r="A18" s="2" t="inlineStr">
        <is>
          <t>Mandatory Amortization % of Opening Debt</t>
        </is>
      </c>
      <c r="B18" s="4" t="n">
        <v>0.05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Sources &amp; Uses of Funds</t>
        </is>
      </c>
    </row>
    <row r="3">
      <c r="A3" s="8" t="inlineStr">
        <is>
          <t>Purchase Enterprise Value</t>
        </is>
      </c>
      <c r="B3" s="9">
        <f>Assumptions!$B$3*Assumptions!$B$6</f>
        <v/>
      </c>
    </row>
    <row r="4">
      <c r="A4" s="8" t="inlineStr">
        <is>
          <t>Transaction Fees</t>
        </is>
      </c>
      <c r="B4" s="9">
        <f>B3*Assumptions!$B$17</f>
        <v/>
      </c>
    </row>
    <row r="5">
      <c r="A5" s="8" t="inlineStr">
        <is>
          <t>Total Uses</t>
        </is>
      </c>
      <c r="B5" s="9">
        <f>SUM(B3:B4)</f>
        <v/>
      </c>
    </row>
    <row r="7">
      <c r="A7" s="10" t="inlineStr">
        <is>
          <t>Sources</t>
        </is>
      </c>
    </row>
    <row r="8">
      <c r="A8" s="8" t="inlineStr">
        <is>
          <t>New Debt</t>
        </is>
      </c>
      <c r="B8" s="9">
        <f>Assumptions!$B$3*Assumptions!$B$9</f>
        <v/>
      </c>
    </row>
    <row r="9">
      <c r="A9" s="8" t="inlineStr">
        <is>
          <t>Sponsor Rollover</t>
        </is>
      </c>
      <c r="B9" s="9">
        <f>B3*Assumptions!$B$16</f>
        <v/>
      </c>
    </row>
    <row r="10">
      <c r="A10" s="8" t="inlineStr">
        <is>
          <t>Sponsor Equity</t>
        </is>
      </c>
      <c r="B10" s="9">
        <f>B5-B8-B9</f>
        <v/>
      </c>
    </row>
    <row r="11">
      <c r="A11" s="8" t="inlineStr">
        <is>
          <t>Total Sources</t>
        </is>
      </c>
      <c r="B11" s="9">
        <f>SUM(B8:B10)</f>
        <v/>
      </c>
    </row>
    <row r="12">
      <c r="A12" s="8" t="inlineStr">
        <is>
          <t>Sources minus Uses</t>
        </is>
      </c>
      <c r="B12" s="9">
        <f>B11-B5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" t="inlineStr">
        <is>
          <t>LBO Operating &amp; Debt Schedule</t>
        </is>
      </c>
    </row>
    <row r="2"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</row>
    <row r="4">
      <c r="A4" s="12" t="inlineStr">
        <is>
          <t>Revenue</t>
        </is>
      </c>
      <c r="B4" s="13">
        <f>Assumptions!$B$5</f>
        <v/>
      </c>
      <c r="C4" s="13">
        <f>B4*(1+Assumptions!$B$7)</f>
        <v/>
      </c>
      <c r="D4" s="13">
        <f>C4*(1+Assumptions!$B$7)</f>
        <v/>
      </c>
      <c r="E4" s="13">
        <f>D4*(1+Assumptions!$B$7)</f>
        <v/>
      </c>
      <c r="F4" s="13">
        <f>E4*(1+Assumptions!$B$7)</f>
        <v/>
      </c>
    </row>
    <row r="5">
      <c r="A5" s="12" t="inlineStr">
        <is>
          <t>EBITDA</t>
        </is>
      </c>
      <c r="B5" s="13">
        <f>B4*Assumptions!$B$4</f>
        <v/>
      </c>
      <c r="C5" s="13">
        <f>C4*Assumptions!$B$4</f>
        <v/>
      </c>
      <c r="D5" s="13">
        <f>D4*Assumptions!$B$4</f>
        <v/>
      </c>
      <c r="E5" s="13">
        <f>E4*Assumptions!$B$4</f>
        <v/>
      </c>
      <c r="F5" s="13">
        <f>F4*Assumptions!$B$4</f>
        <v/>
      </c>
    </row>
    <row r="6">
      <c r="A6" s="12" t="inlineStr">
        <is>
          <t>Depreciation &amp; Amortization</t>
        </is>
      </c>
      <c r="B6" s="13">
        <f>B4*Assumptions!$B$13</f>
        <v/>
      </c>
      <c r="C6" s="13">
        <f>C4*Assumptions!$B$13</f>
        <v/>
      </c>
      <c r="D6" s="13">
        <f>D4*Assumptions!$B$13</f>
        <v/>
      </c>
      <c r="E6" s="13">
        <f>E4*Assumptions!$B$13</f>
        <v/>
      </c>
      <c r="F6" s="13">
        <f>F4*Assumptions!$B$13</f>
        <v/>
      </c>
    </row>
    <row r="7">
      <c r="A7" s="12" t="inlineStr">
        <is>
          <t>EBIT</t>
        </is>
      </c>
      <c r="B7" s="13">
        <f>B5-B6</f>
        <v/>
      </c>
      <c r="C7" s="13">
        <f>C5-C6</f>
        <v/>
      </c>
      <c r="D7" s="13">
        <f>D5-D6</f>
        <v/>
      </c>
      <c r="E7" s="13">
        <f>E5-E6</f>
        <v/>
      </c>
      <c r="F7" s="13">
        <f>F5-F6</f>
        <v/>
      </c>
    </row>
    <row r="8">
      <c r="A8" s="12" t="inlineStr">
        <is>
          <t>Taxes</t>
        </is>
      </c>
      <c r="B8" s="13">
        <f>MAX(0,B7*Assumptions!$B$11)</f>
        <v/>
      </c>
      <c r="C8" s="13">
        <f>MAX(0,C7*Assumptions!$B$11)</f>
        <v/>
      </c>
      <c r="D8" s="13">
        <f>MAX(0,D7*Assumptions!$B$11)</f>
        <v/>
      </c>
      <c r="E8" s="13">
        <f>MAX(0,E7*Assumptions!$B$11)</f>
        <v/>
      </c>
      <c r="F8" s="13">
        <f>MAX(0,F7*Assumptions!$B$11)</f>
        <v/>
      </c>
    </row>
    <row r="9">
      <c r="A9" s="12" t="inlineStr">
        <is>
          <t>Net Operating Profit After Tax</t>
        </is>
      </c>
      <c r="B9" s="13">
        <f>B7-B8</f>
        <v/>
      </c>
      <c r="C9" s="13">
        <f>C7-C8</f>
        <v/>
      </c>
      <c r="D9" s="13">
        <f>D7-D8</f>
        <v/>
      </c>
      <c r="E9" s="13">
        <f>E7-E8</f>
        <v/>
      </c>
      <c r="F9" s="13">
        <f>F7-F8</f>
        <v/>
      </c>
    </row>
    <row r="10">
      <c r="A10" s="12" t="inlineStr">
        <is>
          <t>+ Depreciation &amp; Amortization</t>
        </is>
      </c>
      <c r="B10" s="13">
        <f>B6</f>
        <v/>
      </c>
      <c r="C10" s="13">
        <f>C6</f>
        <v/>
      </c>
      <c r="D10" s="13">
        <f>D6</f>
        <v/>
      </c>
      <c r="E10" s="13">
        <f>E6</f>
        <v/>
      </c>
      <c r="F10" s="13">
        <f>F6</f>
        <v/>
      </c>
    </row>
    <row r="11">
      <c r="A11" s="12" t="inlineStr">
        <is>
          <t>- Capital Expenditures</t>
        </is>
      </c>
      <c r="B11" s="13">
        <f>B4*Assumptions!$B$12</f>
        <v/>
      </c>
      <c r="C11" s="13">
        <f>C4*Assumptions!$B$12</f>
        <v/>
      </c>
      <c r="D11" s="13">
        <f>D4*Assumptions!$B$12</f>
        <v/>
      </c>
      <c r="E11" s="13">
        <f>E4*Assumptions!$B$12</f>
        <v/>
      </c>
      <c r="F11" s="13">
        <f>F4*Assumptions!$B$12</f>
        <v/>
      </c>
    </row>
    <row r="12">
      <c r="A12" s="12" t="inlineStr">
        <is>
          <t>- Change in Net Working Capital</t>
        </is>
      </c>
      <c r="B12" s="13">
        <f>B4*Assumptions!$B$14</f>
        <v/>
      </c>
      <c r="C12" s="13">
        <f>C4*Assumptions!$B$14</f>
        <v/>
      </c>
      <c r="D12" s="13">
        <f>D4*Assumptions!$B$14</f>
        <v/>
      </c>
      <c r="E12" s="13">
        <f>E4*Assumptions!$B$14</f>
        <v/>
      </c>
      <c r="F12" s="13">
        <f>F4*Assumptions!$B$14</f>
        <v/>
      </c>
    </row>
    <row r="13">
      <c r="A13" s="12" t="inlineStr">
        <is>
          <t>Free Cash Flow Available for Debt</t>
        </is>
      </c>
      <c r="B13" s="13">
        <f>B9+B10-B11-B12</f>
        <v/>
      </c>
      <c r="C13" s="13">
        <f>C9+C10-C11-C12</f>
        <v/>
      </c>
      <c r="D13" s="13">
        <f>D9+D10-D11-D12</f>
        <v/>
      </c>
      <c r="E13" s="13">
        <f>E9+E10-E11-E12</f>
        <v/>
      </c>
      <c r="F13" s="13">
        <f>F9+F10-F11-F12</f>
        <v/>
      </c>
    </row>
    <row r="15">
      <c r="A15" s="10" t="inlineStr">
        <is>
          <t>Debt Schedule</t>
        </is>
      </c>
    </row>
    <row r="16">
      <c r="A16" s="12" t="inlineStr">
        <is>
          <t>Opening Debt Balance</t>
        </is>
      </c>
      <c r="B16" s="13">
        <f>Sources &amp; Uses!$B$8</f>
        <v/>
      </c>
      <c r="C16" s="13">
        <f>B20</f>
        <v/>
      </c>
      <c r="D16" s="13">
        <f>C20</f>
        <v/>
      </c>
      <c r="E16" s="13">
        <f>D20</f>
        <v/>
      </c>
      <c r="F16" s="13">
        <f>E20</f>
        <v/>
      </c>
    </row>
    <row r="17">
      <c r="A17" s="12" t="inlineStr">
        <is>
          <t>Interest Expense</t>
        </is>
      </c>
      <c r="B17" s="13">
        <f>B16*Assumptions!$B$10</f>
        <v/>
      </c>
      <c r="C17" s="13">
        <f>C16*Assumptions!$B$10</f>
        <v/>
      </c>
      <c r="D17" s="13">
        <f>D16*Assumptions!$B$10</f>
        <v/>
      </c>
      <c r="E17" s="13">
        <f>E16*Assumptions!$B$10</f>
        <v/>
      </c>
      <c r="F17" s="13">
        <f>F16*Assumptions!$B$10</f>
        <v/>
      </c>
    </row>
    <row r="18">
      <c r="A18" s="12" t="inlineStr">
        <is>
          <t>Mandatory Amortization</t>
        </is>
      </c>
      <c r="B18" s="13">
        <f>B16*Assumptions!$B$18</f>
        <v/>
      </c>
      <c r="C18" s="13">
        <f>C16*Assumptions!$B$18</f>
        <v/>
      </c>
      <c r="D18" s="13">
        <f>D16*Assumptions!$B$18</f>
        <v/>
      </c>
      <c r="E18" s="13">
        <f>E16*Assumptions!$B$18</f>
        <v/>
      </c>
      <c r="F18" s="13">
        <f>F16*Assumptions!$B$18</f>
        <v/>
      </c>
    </row>
    <row r="19">
      <c r="A19" s="12" t="inlineStr">
        <is>
          <t>Optional Paydown</t>
        </is>
      </c>
      <c r="B19" s="13">
        <f>MIN(MAX(0,B13-B18),B16-B18)</f>
        <v/>
      </c>
      <c r="C19" s="13">
        <f>MIN(MAX(0,C13-C18),C16-C18)</f>
        <v/>
      </c>
      <c r="D19" s="13">
        <f>MIN(MAX(0,D13-D18),D16-D18)</f>
        <v/>
      </c>
      <c r="E19" s="13">
        <f>MIN(MAX(0,E13-E18),E16-E18)</f>
        <v/>
      </c>
      <c r="F19" s="13">
        <f>MIN(MAX(0,F13-F18),F16-F18)</f>
        <v/>
      </c>
    </row>
    <row r="20">
      <c r="A20" s="12" t="inlineStr">
        <is>
          <t>Ending Debt Balance</t>
        </is>
      </c>
      <c r="B20" s="13">
        <f>B16-B18-B19</f>
        <v/>
      </c>
      <c r="C20" s="13">
        <f>C16-C18-C19</f>
        <v/>
      </c>
      <c r="D20" s="13">
        <f>D16-D18-D19</f>
        <v/>
      </c>
      <c r="E20" s="13">
        <f>E16-E18-E19</f>
        <v/>
      </c>
      <c r="F20" s="13">
        <f>F16-F18-F19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Sponsor Returns Summary</t>
        </is>
      </c>
    </row>
    <row r="3">
      <c r="A3" t="inlineStr">
        <is>
          <t>Exit EBITDA</t>
        </is>
      </c>
      <c r="B3" s="13">
        <f>'LBO Cash Flows'!F5</f>
        <v/>
      </c>
    </row>
    <row r="4">
      <c r="A4" t="inlineStr">
        <is>
          <t>Exit Multiple</t>
        </is>
      </c>
      <c r="B4" s="14">
        <f>Assumptions!$B$8</f>
        <v/>
      </c>
    </row>
    <row r="5">
      <c r="A5" t="inlineStr">
        <is>
          <t>Exit Enterprise Value</t>
        </is>
      </c>
      <c r="B5" s="13">
        <f>B3*B4</f>
        <v/>
      </c>
    </row>
    <row r="6">
      <c r="A6" t="inlineStr">
        <is>
          <t>Ending Net Debt</t>
        </is>
      </c>
      <c r="B6" s="13">
        <f>'LBO Cash Flows'!F20</f>
        <v/>
      </c>
    </row>
    <row r="7">
      <c r="A7" t="inlineStr">
        <is>
          <t>Equity Value to Sponsor</t>
        </is>
      </c>
      <c r="B7" s="13">
        <f>B5-B6</f>
        <v/>
      </c>
    </row>
    <row r="8">
      <c r="A8" t="inlineStr">
        <is>
          <t>Sponsor Equity Invested</t>
        </is>
      </c>
      <c r="B8" s="13">
        <f>'Sources &amp; Uses'!$B$10</f>
        <v/>
      </c>
    </row>
    <row r="9">
      <c r="A9" t="inlineStr">
        <is>
          <t>MOIC</t>
        </is>
      </c>
      <c r="B9" s="15">
        <f>B7/B8</f>
        <v/>
      </c>
    </row>
    <row r="10">
      <c r="A10" t="inlineStr">
        <is>
          <t>IRR</t>
        </is>
      </c>
      <c r="B10" s="16">
        <f>IRR(B14:G14)</f>
        <v/>
      </c>
    </row>
    <row r="12">
      <c r="A12" s="10" t="inlineStr">
        <is>
          <t>Sponsor Cash Flows</t>
        </is>
      </c>
    </row>
    <row r="13">
      <c r="B13" s="17" t="inlineStr">
        <is>
          <t>Year 0</t>
        </is>
      </c>
      <c r="C13" s="17" t="inlineStr">
        <is>
          <t>Year 1</t>
        </is>
      </c>
      <c r="D13" s="17" t="inlineStr">
        <is>
          <t>Year 2</t>
        </is>
      </c>
      <c r="E13" s="17" t="inlineStr">
        <is>
          <t>Year 3</t>
        </is>
      </c>
      <c r="F13" s="17" t="inlineStr">
        <is>
          <t>Year 4</t>
        </is>
      </c>
      <c r="G13" s="17" t="inlineStr">
        <is>
          <t>Year 5</t>
        </is>
      </c>
      <c r="H13" s="17" t="inlineStr">
        <is>
          <t>Year 6</t>
        </is>
      </c>
    </row>
    <row r="14">
      <c r="B14" s="9">
        <f>-'Sources &amp; Uses'!$B$10</f>
        <v/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>
        <f>B7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2025-11-25T00:46:04Z</dcterms:created>
  <dcterms:modified xmlns:dcterms="http://purl.org/dc/terms/" xmlns:xsi="http://www.w3.org/2001/XMLSchema-instance" xsi:type="dcterms:W3CDTF">2025-11-25T00:46:04Z</dcterms:modified>
</cp:coreProperties>
</file>