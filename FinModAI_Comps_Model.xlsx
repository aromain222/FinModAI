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$#,##0"/>
    <numFmt numFmtId="167" formatCode="0.0x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2933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4" fontId="0" fillId="0" borderId="1" pivotButton="0" quotePrefix="0" xfId="0"/>
    <xf numFmtId="167" fontId="0" fillId="0" borderId="1" pivotButton="0" quotePrefix="0" xfId="0"/>
    <xf numFmtId="167" fontId="3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FinModAI Trading Comps</t>
        </is>
      </c>
    </row>
    <row r="2">
      <c r="A2" s="2" t="inlineStr">
        <is>
          <t>Ticker</t>
        </is>
      </c>
      <c r="B2" s="2" t="inlineStr">
        <is>
          <t>Share Price</t>
        </is>
      </c>
      <c r="C2" s="2" t="inlineStr">
        <is>
          <t>Shares Out (mm)</t>
        </is>
      </c>
      <c r="D2" s="2" t="inlineStr">
        <is>
          <t>Market Cap</t>
        </is>
      </c>
      <c r="E2" s="2" t="inlineStr">
        <is>
          <t>Net Debt</t>
        </is>
      </c>
      <c r="F2" s="2" t="inlineStr">
        <is>
          <t>Enterprise Value</t>
        </is>
      </c>
      <c r="G2" s="2" t="inlineStr">
        <is>
          <t>Revenue</t>
        </is>
      </c>
      <c r="H2" s="2" t="inlineStr">
        <is>
          <t>EBITDA</t>
        </is>
      </c>
      <c r="I2" s="2" t="inlineStr">
        <is>
          <t>EPS</t>
        </is>
      </c>
      <c r="J2" s="2" t="inlineStr">
        <is>
          <t>P/E</t>
        </is>
      </c>
      <c r="K2" s="2" t="inlineStr">
        <is>
          <t>EV / Revenue</t>
        </is>
      </c>
      <c r="L2" s="2" t="inlineStr">
        <is>
          <t>EV / EBITDA</t>
        </is>
      </c>
    </row>
    <row r="4">
      <c r="A4" s="3" t="inlineStr">
        <is>
          <t>ACME</t>
        </is>
      </c>
      <c r="B4" s="4" t="n">
        <v>145.25</v>
      </c>
      <c r="C4" s="5" t="n">
        <v>520</v>
      </c>
      <c r="D4" s="6">
        <f>B4*C4</f>
        <v/>
      </c>
      <c r="E4" s="6" t="n">
        <v>18750</v>
      </c>
      <c r="F4" s="6">
        <f>D4+E4</f>
        <v/>
      </c>
      <c r="G4" s="6" t="n">
        <v>4200</v>
      </c>
      <c r="H4" s="6" t="n">
        <v>2150</v>
      </c>
      <c r="I4" s="7" t="n">
        <v>6.8</v>
      </c>
      <c r="J4" s="8">
        <f>B4/I4</f>
        <v/>
      </c>
      <c r="K4" s="8">
        <f>F4/G4</f>
        <v/>
      </c>
      <c r="L4" s="8">
        <f>F4/H4</f>
        <v/>
      </c>
    </row>
    <row r="5">
      <c r="A5" s="3" t="inlineStr">
        <is>
          <t>GLOB</t>
        </is>
      </c>
      <c r="B5" s="4" t="n">
        <v>128.6</v>
      </c>
      <c r="C5" s="5" t="n">
        <v>410</v>
      </c>
      <c r="D5" s="6">
        <f>B5*C5</f>
        <v/>
      </c>
      <c r="E5" s="6" t="n">
        <v>12900</v>
      </c>
      <c r="F5" s="6">
        <f>D5+E5</f>
        <v/>
      </c>
      <c r="G5" s="6" t="n">
        <v>3150</v>
      </c>
      <c r="H5" s="6" t="n">
        <v>1820</v>
      </c>
      <c r="I5" s="7" t="n">
        <v>5.4</v>
      </c>
      <c r="J5" s="8">
        <f>B5/I5</f>
        <v/>
      </c>
      <c r="K5" s="8">
        <f>F5/G5</f>
        <v/>
      </c>
      <c r="L5" s="8">
        <f>F5/H5</f>
        <v/>
      </c>
    </row>
    <row r="6">
      <c r="A6" s="3" t="inlineStr">
        <is>
          <t>NOVA</t>
        </is>
      </c>
      <c r="B6" s="4" t="n">
        <v>112.4</v>
      </c>
      <c r="C6" s="5" t="n">
        <v>305</v>
      </c>
      <c r="D6" s="6">
        <f>B6*C6</f>
        <v/>
      </c>
      <c r="E6" s="6" t="n">
        <v>9800</v>
      </c>
      <c r="F6" s="6">
        <f>D6+E6</f>
        <v/>
      </c>
      <c r="G6" s="6" t="n">
        <v>2900</v>
      </c>
      <c r="H6" s="6" t="n">
        <v>1260</v>
      </c>
      <c r="I6" s="7" t="n">
        <v>4.2</v>
      </c>
      <c r="J6" s="8">
        <f>B6/I6</f>
        <v/>
      </c>
      <c r="K6" s="8">
        <f>F6/G6</f>
        <v/>
      </c>
      <c r="L6" s="8">
        <f>F6/H6</f>
        <v/>
      </c>
    </row>
    <row r="7">
      <c r="A7" s="3" t="inlineStr">
        <is>
          <t>VCTR</t>
        </is>
      </c>
      <c r="B7" s="4" t="n">
        <v>165.1</v>
      </c>
      <c r="C7" s="5" t="n">
        <v>275</v>
      </c>
      <c r="D7" s="6">
        <f>B7*C7</f>
        <v/>
      </c>
      <c r="E7" s="6" t="n">
        <v>11200</v>
      </c>
      <c r="F7" s="6">
        <f>D7+E7</f>
        <v/>
      </c>
      <c r="G7" s="6" t="n">
        <v>2450</v>
      </c>
      <c r="H7" s="6" t="n">
        <v>1580</v>
      </c>
      <c r="I7" s="7" t="n">
        <v>5.9</v>
      </c>
      <c r="J7" s="8">
        <f>B7/I7</f>
        <v/>
      </c>
      <c r="K7" s="8">
        <f>F7/G7</f>
        <v/>
      </c>
      <c r="L7" s="8">
        <f>F7/H7</f>
        <v/>
      </c>
    </row>
    <row r="9">
      <c r="A9" s="3" t="inlineStr">
        <is>
          <t>Median</t>
        </is>
      </c>
      <c r="J9" s="9">
        <f>MEDIAN(J4:J7)</f>
        <v/>
      </c>
      <c r="K9" s="9">
        <f>MEDIAN(K4:K7)</f>
        <v/>
      </c>
      <c r="L9" s="9">
        <f>MEDIAN(L4:L7)</f>
        <v/>
      </c>
    </row>
    <row r="11">
      <c r="A11" s="10" t="inlineStr">
        <is>
          <t>Target Company Inputs</t>
        </is>
      </c>
    </row>
    <row r="12">
      <c r="A12" s="3" t="inlineStr">
        <is>
          <t>Revenue</t>
        </is>
      </c>
      <c r="B12" s="6" t="n">
        <v>7800</v>
      </c>
    </row>
    <row r="13">
      <c r="A13" s="3" t="inlineStr">
        <is>
          <t>EBITDA</t>
        </is>
      </c>
      <c r="B13" s="6" t="n">
        <v>1950</v>
      </c>
    </row>
    <row r="14">
      <c r="A14" s="3" t="inlineStr">
        <is>
          <t>EPS</t>
        </is>
      </c>
      <c r="B14" s="7" t="n">
        <v>5.75</v>
      </c>
    </row>
    <row r="15">
      <c r="A15" s="3" t="inlineStr">
        <is>
          <t>Net Debt</t>
        </is>
      </c>
      <c r="B15" s="6" t="n">
        <v>2900</v>
      </c>
    </row>
    <row r="16">
      <c r="A16" s="3" t="inlineStr">
        <is>
          <t>Shares Out (mm)</t>
        </is>
      </c>
      <c r="B16" s="5" t="n">
        <v>295</v>
      </c>
    </row>
    <row r="19">
      <c r="A19" s="10" t="inlineStr">
        <is>
          <t>Implied Value Using Median Multiples</t>
        </is>
      </c>
    </row>
    <row r="20">
      <c r="A20" s="3" t="inlineStr">
        <is>
          <t>EV from EV/Revenue</t>
        </is>
      </c>
      <c r="B20" s="6">
        <f>K9*B12</f>
        <v/>
      </c>
    </row>
    <row r="21">
      <c r="A21" s="3" t="inlineStr">
        <is>
          <t>EV from EV/EBITDA</t>
        </is>
      </c>
      <c r="B21" s="6">
        <f>L9*B13</f>
        <v/>
      </c>
    </row>
    <row r="22">
      <c r="A22" s="3" t="inlineStr">
        <is>
          <t>Equity Value (EV/Revenue)</t>
        </is>
      </c>
      <c r="B22" s="6">
        <f>B20-B15</f>
        <v/>
      </c>
    </row>
    <row r="23">
      <c r="A23" s="3" t="inlineStr">
        <is>
          <t>Equity Value (EV/EBITDA)</t>
        </is>
      </c>
      <c r="B23" s="6">
        <f>B21-B15</f>
        <v/>
      </c>
    </row>
    <row r="24">
      <c r="A24" s="3" t="inlineStr">
        <is>
          <t>Implied Price / Share (Revenue Mult.)</t>
        </is>
      </c>
      <c r="B24" s="4">
        <f>B22/B16</f>
        <v/>
      </c>
    </row>
    <row r="25">
      <c r="A25" s="3" t="inlineStr">
        <is>
          <t>Implied Price / Share (EBITDA Mult.)</t>
        </is>
      </c>
      <c r="B25" s="4">
        <f>B23/B16</f>
        <v/>
      </c>
    </row>
    <row r="26">
      <c r="A26" s="3" t="inlineStr">
        <is>
          <t>Implied Price / Share (P/E)</t>
        </is>
      </c>
      <c r="B26" s="4">
        <f>J9*B14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2025-11-25T00:37:10Z</dcterms:created>
  <dcterms:modified xmlns:dcterms="http://purl.org/dc/terms/" xmlns:xsi="http://www.w3.org/2001/XMLSchema-instance" xsi:type="dcterms:W3CDTF">2025-11-25T00:37:10Z</dcterms:modified>
</cp:coreProperties>
</file>