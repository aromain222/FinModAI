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DC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2933"/>
    </font>
    <font>
      <b val="1"/>
      <sz val="13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4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2" customWidth="1" min="2" max="2"/>
  </cols>
  <sheetData>
    <row r="1">
      <c r="A1" s="1" t="inlineStr">
        <is>
          <t>FinModAI DCF Model – Key Assumptions</t>
        </is>
      </c>
    </row>
    <row r="3">
      <c r="A3" s="2" t="inlineStr">
        <is>
          <t>Starting Free Cash Flow</t>
        </is>
      </c>
      <c r="B3" s="3" t="n">
        <v>150000</v>
      </c>
    </row>
    <row r="4">
      <c r="A4" s="2" t="inlineStr">
        <is>
          <t>Year 1 FCF Growth %</t>
        </is>
      </c>
      <c r="B4" s="4" t="n">
        <v>0.12</v>
      </c>
    </row>
    <row r="5">
      <c r="A5" s="2" t="inlineStr">
        <is>
          <t>Year 2 FCF Growth %</t>
        </is>
      </c>
      <c r="B5" s="4" t="n">
        <v>0.1</v>
      </c>
    </row>
    <row r="6">
      <c r="A6" s="2" t="inlineStr">
        <is>
          <t>Year 3 FCF Growth %</t>
        </is>
      </c>
      <c r="B6" s="4" t="n">
        <v>0.08</v>
      </c>
    </row>
    <row r="7">
      <c r="A7" s="2" t="inlineStr">
        <is>
          <t>Year 4 FCF Growth %</t>
        </is>
      </c>
      <c r="B7" s="4" t="n">
        <v>0.06</v>
      </c>
    </row>
    <row r="8">
      <c r="A8" s="2" t="inlineStr">
        <is>
          <t>Year 5 FCF Growth %</t>
        </is>
      </c>
      <c r="B8" s="4" t="n">
        <v>0.05</v>
      </c>
    </row>
    <row r="9">
      <c r="A9" s="2" t="inlineStr">
        <is>
          <t>Weighted Average Cost of Capital (WACC)</t>
        </is>
      </c>
      <c r="B9" s="4" t="n">
        <v>0.09</v>
      </c>
    </row>
    <row r="10">
      <c r="A10" s="2" t="inlineStr">
        <is>
          <t>Terminal Growth Rate (g)</t>
        </is>
      </c>
      <c r="B10" s="4" t="n">
        <v>0.025</v>
      </c>
    </row>
    <row r="11">
      <c r="A11" s="2" t="inlineStr">
        <is>
          <t>Net Debt</t>
        </is>
      </c>
      <c r="B11" s="3" t="n">
        <v>275000</v>
      </c>
    </row>
    <row r="12">
      <c r="A12" s="2" t="inlineStr">
        <is>
          <t>Shares Outstanding (mm)</t>
        </is>
      </c>
      <c r="B12" s="5" t="n">
        <v>80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Discounted Cash Flow Analysis (USD)</t>
        </is>
      </c>
    </row>
    <row r="2">
      <c r="A2" t="inlineStr"/>
      <c r="B2" s="7" t="inlineStr">
        <is>
          <t>Year 1</t>
        </is>
      </c>
      <c r="C2" s="7" t="inlineStr">
        <is>
          <t>Year 2</t>
        </is>
      </c>
      <c r="D2" s="7" t="inlineStr">
        <is>
          <t>Year 3</t>
        </is>
      </c>
      <c r="E2" s="7" t="inlineStr">
        <is>
          <t>Year 4</t>
        </is>
      </c>
      <c r="F2" s="7" t="inlineStr">
        <is>
          <t>Year 5</t>
        </is>
      </c>
    </row>
    <row r="4">
      <c r="A4" s="8" t="inlineStr">
        <is>
          <t>Free Cash Flow</t>
        </is>
      </c>
      <c r="B4" s="9">
        <f>Assumptions!$B$3*(1+Assumptions!$B$4)</f>
        <v/>
      </c>
      <c r="C4" s="9">
        <f>B4*(1+Assumptions!$B$5)</f>
        <v/>
      </c>
      <c r="D4" s="9">
        <f>C4*(1+Assumptions!$B$6)</f>
        <v/>
      </c>
      <c r="E4" s="9">
        <f>D4*(1+Assumptions!$B$7)</f>
        <v/>
      </c>
      <c r="F4" s="9">
        <f>E4*(1+Assumptions!$B$8)</f>
        <v/>
      </c>
    </row>
    <row r="5">
      <c r="A5" s="8" t="inlineStr">
        <is>
          <t>Growth Rate</t>
        </is>
      </c>
      <c r="B5" s="10">
        <f>Assumptions!$B$4</f>
        <v/>
      </c>
      <c r="C5" s="10">
        <f>Assumptions!$B$5</f>
        <v/>
      </c>
      <c r="D5" s="10">
        <f>Assumptions!$B$6</f>
        <v/>
      </c>
      <c r="E5" s="10">
        <f>Assumptions!$B$7</f>
        <v/>
      </c>
      <c r="F5" s="10">
        <f>Assumptions!$B$8</f>
        <v/>
      </c>
    </row>
    <row r="6">
      <c r="A6" s="8" t="inlineStr">
        <is>
          <t>Discount Factor</t>
        </is>
      </c>
      <c r="B6" s="11">
        <f>1/POWER(1+Assumptions!$B$9,1)</f>
        <v/>
      </c>
      <c r="C6" s="11">
        <f>1/POWER(1+Assumptions!$B$9,2)</f>
        <v/>
      </c>
      <c r="D6" s="11">
        <f>1/POWER(1+Assumptions!$B$9,3)</f>
        <v/>
      </c>
      <c r="E6" s="11">
        <f>1/POWER(1+Assumptions!$B$9,4)</f>
        <v/>
      </c>
      <c r="F6" s="11">
        <f>1/POWER(1+Assumptions!$B$9,5)</f>
        <v/>
      </c>
    </row>
    <row r="7">
      <c r="A7" s="8" t="inlineStr">
        <is>
          <t>Present Value of FCF</t>
        </is>
      </c>
      <c r="B7" s="9">
        <f>B4*B6</f>
        <v/>
      </c>
      <c r="C7" s="9">
        <f>C4*C6</f>
        <v/>
      </c>
      <c r="D7" s="9">
        <f>D4*D6</f>
        <v/>
      </c>
      <c r="E7" s="9">
        <f>E4*E6</f>
        <v/>
      </c>
      <c r="F7" s="9">
        <f>F4*F6</f>
        <v/>
      </c>
    </row>
    <row r="8">
      <c r="A8" s="8" t="inlineStr">
        <is>
          <t>Terminal Value</t>
        </is>
      </c>
      <c r="B8" t="inlineStr"/>
      <c r="C8" t="inlineStr"/>
      <c r="D8" t="inlineStr"/>
      <c r="E8" t="inlineStr"/>
      <c r="F8" s="9">
        <f>F4*(1+Assumptions!$B$10)/(Assumptions!$B$9-Assumptions!$B$10)</f>
        <v/>
      </c>
    </row>
    <row r="9">
      <c r="A9" s="8" t="inlineStr">
        <is>
          <t>PV of Terminal Value</t>
        </is>
      </c>
      <c r="B9" t="inlineStr"/>
      <c r="C9" t="inlineStr"/>
      <c r="D9" t="inlineStr"/>
      <c r="E9" t="inlineStr"/>
      <c r="F9" s="9">
        <f>F8*F6</f>
        <v/>
      </c>
    </row>
    <row r="12">
      <c r="A12" s="12" t="inlineStr">
        <is>
          <t>Valuation Summary</t>
        </is>
      </c>
    </row>
    <row r="13">
      <c r="A13" s="8" t="inlineStr">
        <is>
          <t>PV of Explicit Free Cash Flows</t>
        </is>
      </c>
      <c r="B13" s="9">
        <f>SUM(B7:F7)</f>
        <v/>
      </c>
    </row>
    <row r="14">
      <c r="A14" s="8" t="inlineStr">
        <is>
          <t>PV of Terminal Value</t>
        </is>
      </c>
      <c r="B14" s="9">
        <f>F9</f>
        <v/>
      </c>
    </row>
    <row r="15">
      <c r="A15" s="8" t="inlineStr">
        <is>
          <t>Enterprise Value</t>
        </is>
      </c>
      <c r="B15" s="9">
        <f>B13+B14</f>
        <v/>
      </c>
    </row>
    <row r="16">
      <c r="A16" s="8" t="inlineStr">
        <is>
          <t>Less: Net Debt</t>
        </is>
      </c>
      <c r="B16" s="9">
        <f>Assumptions!$B$11</f>
        <v/>
      </c>
    </row>
    <row r="17">
      <c r="A17" s="8" t="inlineStr">
        <is>
          <t>Equity Value</t>
        </is>
      </c>
      <c r="B17" s="9">
        <f>B15-B16</f>
        <v/>
      </c>
    </row>
    <row r="18">
      <c r="A18" s="8" t="inlineStr">
        <is>
          <t>Shares Outstanding (mm)</t>
        </is>
      </c>
      <c r="B18" s="13">
        <f>Assumptions!$B$12</f>
        <v/>
      </c>
    </row>
    <row r="19">
      <c r="A19" s="8" t="inlineStr">
        <is>
          <t>Implied Price per Share</t>
        </is>
      </c>
      <c r="B19" s="9">
        <f>B17/B18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2025-11-24T22:23:53Z</dcterms:created>
  <dcterms:modified xmlns:dcterms="http://purl.org/dc/terms/" xmlns:xsi="http://www.w3.org/2001/XMLSchema-instance" xsi:type="dcterms:W3CDTF">2025-11-24T22:23:53Z</dcterms:modified>
</cp:coreProperties>
</file>